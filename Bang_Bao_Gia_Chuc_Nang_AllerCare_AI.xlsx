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macbook/AllerCare_AI_V2/"/>
    </mc:Choice>
  </mc:AlternateContent>
  <xr:revisionPtr revIDLastSave="0" documentId="13_ncr:1_{E5DD471B-F840-F841-86F0-0189B10075CD}" xr6:coauthVersionLast="47" xr6:coauthVersionMax="47" xr10:uidLastSave="{00000000-0000-0000-0000-000000000000}"/>
  <bookViews>
    <workbookView xWindow="0" yWindow="660" windowWidth="30240" windowHeight="17580" xr2:uid="{00000000-000D-0000-FFFF-FFFF00000000}"/>
  </bookViews>
  <sheets>
    <sheet name="Báo Giá Chức Năng" sheetId="1" r:id="rId1"/>
    <sheet name="Gói Triển Khai B2B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" i="1" l="1"/>
  <c r="D15" i="1"/>
</calcChain>
</file>

<file path=xl/sharedStrings.xml><?xml version="1.0" encoding="utf-8"?>
<sst xmlns="http://schemas.openxmlformats.org/spreadsheetml/2006/main" count="68" uniqueCount="67">
  <si>
    <t>BẢNG BÓC TÁCH CHI PHÍ &amp; ĐỊNH GIÁ CHỨC NĂNG NỀN TẢNG ALLERCARE AI V2</t>
  </si>
  <si>
    <t>Hệ thống Quản lý Y tế Số &amp; An toàn Thuốc Da liễu - Miễn dịch Dị ứng • Đơn vị tính: VNĐ (Việt Nam Đồng)</t>
  </si>
  <si>
    <t>STT</t>
  </si>
  <si>
    <t>Phân hệ / Chức năng cụ thể</t>
  </si>
  <si>
    <t>Mô tả chi tiết kỹ thuật &amp; Nghiệp vụ Y khoa</t>
  </si>
  <si>
    <t>Giá tối thiểu (VNĐ)</t>
  </si>
  <si>
    <t>Giá tối đa (VNĐ)</t>
  </si>
  <si>
    <t>Ghi chú</t>
  </si>
  <si>
    <t>Hệ thống Rà soát An toàn Thuốc (MedSafe Engine)</t>
  </si>
  <si>
    <t>• Số hóa &amp; chuẩn hóa 633 cặp tương tác thuốc theo Dược thư Quốc gia Bộ Y tế
• Thuật toán rà soát đa nguồn (bệnh nhân tự khai + bác sĩ kê đơn)
• Cảnh báo tương tác chống chỉ định, thận trọng và phát hiện dị ứng chéo
• Ghi nhận quyết định xử trí lâm sàng và lưu vết kiểm toán</t>
  </si>
  <si>
    <t>Lõi dữ liệu độc quyền</t>
  </si>
  <si>
    <t>Cây Tiến trình Điều trị &amp; Kê đơn Đa bệnh (Treatment Timeline)</t>
  </si>
  <si>
    <t>• Cây tiến trình điều trị Live Real-time theo ngày thực tế (3 mốc trạm)
• Quản trị đơn thuốc độc quyền Bác sĩ (Thêm, Sửa liều/tần suất, Xóa)
• Tự động lọc chính xác danh mục thuốc theo từng loại bệnh điều trị
• Trang tổng quan toàn bộ thuốc kèm huy hiệu phân định diện bệnh
• Điểm danh tuân thủ uống thuốc hằng ngày cho Người bệnh</t>
  </si>
  <si>
    <t>UX/UI Real-time Live</t>
  </si>
  <si>
    <t>Trợ lý AI &amp; Bộ lọc An toàn Y khoa (AI Assistant &amp; Guardrails)</t>
  </si>
  <si>
    <t>• Giao diện Chat trực quan, gợi ý câu hỏi thông minh
• Bộ lọc an toàn (Safety Guardrails) chặn phát ngôn kê đơn sai lệch
• Tự động phát hiện triệu chứng khẩn cấp để kích hoạt cảnh báo gọi 115
• Tích hợp kho tri thức dược cục bộ, lưu trữ lịch sử phiên chat</t>
  </si>
  <si>
    <t>AI Guardrail Y tế</t>
  </si>
  <si>
    <t>Phân luồng Triệu chứng Lâm sàng (TriageGuard)</t>
  </si>
  <si>
    <t>• Thuật toán đánh giá triệu chứng phản ứng có hại của thuốc (ADR)
• Tự động phân cấp 3 mức: Xanh (An toàn), Vàng (Theo dõi), Đỏ (Cấp cứu)
• Hàng đợi xử trí ca bệnh dành cho Điều dưỡng &amp; Bác sĩ
• Lưu trữ lịch sử TriageAssessment phục vụ hội chẩn</t>
  </si>
  <si>
    <t>Chuẩn lâm sàng ADR</t>
  </si>
  <si>
    <t>Xác thực, Phân quyền 7 Vai trò &amp; Audit Log Y tế</t>
  </si>
  <si>
    <t>• Phân quyền ma trận chặt chẽ: Bệnh nhân, Người nhà, Bác sĩ, Điều dưỡng, Dược sĩ, Lãnh đạo, Admin
• Module quản lý liên kết Bác sĩ - Bệnh nhân (CareAssignment)
• Hệ thống Nhật ký kiểm toán y khoa (Audit Log) chuẩn chống chối bỏ</t>
  </si>
  <si>
    <t>Bảo mật &amp; RBAC 7 Roles</t>
  </si>
  <si>
    <t>Quy trình Hướng dẫn Dùng thuốc (Medication Guides)</t>
  </si>
  <si>
    <t>• Dược sĩ / Bác sĩ soạn thảo bản nháp hướng dẫn dùng thuốc
• Bác sĩ phê duyệt (approved) chuyển trạng thái
• Tự động gửi thông báo đến tài khoản người bệnh
• Nút "Xác nhận đã hiểu" (acknowledged) đo lường tuân thủ</t>
  </si>
  <si>
    <t>Tương tác 2 chiều</t>
  </si>
  <si>
    <t>Quality Dashboard cho Lãnh đạo Bệnh viện</t>
  </si>
  <si>
    <t>• Dashboard thống kê tỷ lệ phân luồng triệu chứng toàn viện
• Báo cáo thời gian phản hồi ca bệnh của nhân viên y tế
• Biểu đồ tỷ lệ cảnh báo tương tác thuốc và xếp hạng hoạt chất nghi ngờ
• Thiết kế bảo mật cao: Chỉ hiển thị số liệu tổng hợp, không lộ bệnh án</t>
  </si>
  <si>
    <t>Báo cáo Giám đốc/Trưởng khoa</t>
  </si>
  <si>
    <t>Module Đặt lịch Khám &amp; Tư vấn Từ xa</t>
  </si>
  <si>
    <t>• Giao diện gửi yêu cầu hẹn khám và chọn khung giờ
• Bác sĩ duyệt/từ chối lịch hẹn và gửi thông báo phản hồi
• Hạ tầng Backend tích hợp Token &amp; Room cho Video Call</t>
  </si>
  <si>
    <t>Telehealth Module</t>
  </si>
  <si>
    <t>Giao diện Clinical UI/UX, Dark/Light Mode &amp; PWA</t>
  </si>
  <si>
    <t>• Thiết kế chuẩn Y tế hiện đại (Glassmorphism, mượt mà trên Mobile &amp; Web)
• Nút chuyển đổi Giao diện Sáng / Tối floating ở góc màn hình có lưu trạng thái
• Tích hợp PWA (Service Worker) cài đặt như App di động</t>
  </si>
  <si>
    <t>Cross-platform PWA</t>
  </si>
  <si>
    <t>Hạ tầng DevOps, Docker &amp; Bộ Kiểm thử Tự động</t>
  </si>
  <si>
    <t>• Đóng gói Docker Compose đa container (Next.js + FastAPI + PostgreSQL + Caddy SSL)
• Cấu hình bảo vệ dữ liệu SEED_ON_START=0
• Bộ 93 kịch bản kiểm thử tự động (Unit/Integration Test Pytest)</t>
  </si>
  <si>
    <t>CI/CD &amp; Production Ready</t>
  </si>
  <si>
    <t>TỔNG CỘNG GIÁ TRỊ TỪNG PHẦN (SUM):</t>
  </si>
  <si>
    <t>10 Phân hệ hoàn chỉnh</t>
  </si>
  <si>
    <t>⭐ GIÁ ĐÓNG GÓI TRỌN GÓI (PACKAGE DEAL - TIẾT KIỆM 15-20%):</t>
  </si>
  <si>
    <t>Chuyển giao trọn gói</t>
  </si>
  <si>
    <t>MÔ HÌNH THƯƠNG MẠI HÓA &amp; TRIỂN KHAI BỆNH VIỆN / PHÒNG KHÁM</t>
  </si>
  <si>
    <t>Gói dịch vụ / Mô hình triển khai</t>
  </si>
  <si>
    <t>Đối tượng khách hàng</t>
  </si>
  <si>
    <t>Chi phí dự kiến (VNĐ)</t>
  </si>
  <si>
    <t>Hình thức thanh toán / Ghi chú</t>
  </si>
  <si>
    <t>Gói Chuyển Giao Trọn Gói On-Premise</t>
  </si>
  <si>
    <t>Bệnh viện Đa khoa, Bệnh viện Da liễu, Chuỗi phòng khám tư nhân</t>
  </si>
  <si>
    <t>180.000.000 – 300.000.000 VNĐ / cơ sở</t>
  </si>
  <si>
    <t>Cài đặt trọn gói lên Server bệnh viện, chuyển giao mã nguồn, training nhân viên y tế</t>
  </si>
  <si>
    <t>Phí Bảo Trì &amp; Cập Nhật Dược Thư Hàng Năm (SLA)</t>
  </si>
  <si>
    <t>Các đơn vị đã triển khai On-Premise</t>
  </si>
  <si>
    <t>15% – 20% giá trị hợp đồng (~30 - 60 triệu/năm)</t>
  </si>
  <si>
    <t>Cập nhật tương tác thuốc mới theo Bộ Y tế, bảo hành kỹ thuật 24/7, tối ưu hiệu năng</t>
  </si>
  <si>
    <t>Thuê Bao SaaS Bác Sĩ / Phòng Khám Chuyên Khoa</t>
  </si>
  <si>
    <t>Bác sĩ da liễu độc lập, phòng khám vừa &amp; nhỏ</t>
  </si>
  <si>
    <t>500.000 – 1.500.000 VNĐ / bác sĩ / tháng</t>
  </si>
  <si>
    <t>Cloud Server sẵn sàng, truy cập nền tảng không cần đầu tư máy chủ</t>
  </si>
  <si>
    <t>Gói Theo Dõi Bệnh Nhân Từ Xa (RPM VIP)</t>
  </si>
  <si>
    <t>Bệnh nhân mạn tính / dị ứng nặng theo dõi tại nhà</t>
  </si>
  <si>
    <t>50.000 – 100.000 VNĐ / bệnh nhân / tháng</t>
  </si>
  <si>
    <t>Tích hợp thông báo uống thuốc, trợ lý AI tư vấn và kênh liên lạc khẩn cấp bác sĩ</t>
  </si>
  <si>
    <t>Định Giá Khởi Nghiệp Gọi Vốn (Pre-Seed Startup)</t>
  </si>
  <si>
    <t>Nhà đầu tư thiên thần, Quỹ đầu tư mạo hiểm y tế</t>
  </si>
  <si>
    <t>1.500.000.000 – 3.000.000.000 VNĐ</t>
  </si>
  <si>
    <t>Định giá dựa trên công nghệ, tiềm năng thị trường HealthTech và bộ dữ liệu 633 tương tác thuốc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</si>
</sst>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&quot;VNĐ&quot;"/>
  </numFmts>
  <fonts count="8" x14ac:knownFonts="1">
    <font>
      <sz val="11"/>
      <color theme="1"/>
      <name val="Calibri"/>
      <family val="2"/>
      <scheme val="minor"/>
    </font>
    <font>
      <b/>
      <sz val="16"/>
      <color rgb="FF0369A1"/>
      <name val="Segoe UI"/>
    </font>
    <font>
      <i/>
      <sz val="10"/>
      <color rgb="FF64748B"/>
      <name val="Segoe UI"/>
    </font>
    <font>
      <b/>
      <sz val="11"/>
      <color rgb="FFFFFFFF"/>
      <name val="Segoe UI"/>
    </font>
    <font>
      <sz val="10"/>
      <color rgb="FF334155"/>
      <name val="Segoe UI"/>
    </font>
    <font>
      <b/>
      <sz val="10"/>
      <color rgb="FF0F172A"/>
      <name val="Segoe UI"/>
    </font>
    <font>
      <b/>
      <sz val="11"/>
      <color rgb="FF166534"/>
      <name val="Segoe UI"/>
    </font>
    <font>
      <b/>
      <sz val="11"/>
      <color rgb="FF92400E"/>
      <name val="Segoe UI"/>
    </font>
  </fonts>
  <fills count="6">
    <fill>
      <patternFill patternType="none"/>
    </fill>
    <fill>
      <patternFill patternType="gray125"/>
    </fill>
    <fill>
      <patternFill patternType="solid">
        <fgColor rgb="FF0284C7"/>
        <bgColor rgb="FF0284C7"/>
      </patternFill>
    </fill>
    <fill>
      <patternFill patternType="solid">
        <fgColor rgb="FFF8FAFC"/>
        <bgColor rgb="FFF8FAFC"/>
      </patternFill>
    </fill>
    <fill>
      <patternFill patternType="solid">
        <fgColor rgb="FFDCFCE7"/>
        <bgColor rgb="FFDCFCE7"/>
      </patternFill>
    </fill>
    <fill>
      <patternFill patternType="solid">
        <fgColor rgb="FFFEF3C7"/>
        <bgColor rgb="FFFEF3C7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medium">
        <color rgb="FF0284C7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3" fontId="5" fillId="0" borderId="1" xfId="0" applyNumberFormat="1" applyFont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 wrapText="1"/>
    </xf>
    <xf numFmtId="3" fontId="5" fillId="3" borderId="1" xfId="0" applyNumberFormat="1" applyFont="1" applyFill="1" applyBorder="1" applyAlignment="1">
      <alignment horizontal="right" vertical="center"/>
    </xf>
    <xf numFmtId="164" fontId="6" fillId="4" borderId="2" xfId="0" applyNumberFormat="1" applyFont="1" applyFill="1" applyBorder="1" applyAlignment="1">
      <alignment horizontal="right" vertical="center"/>
    </xf>
    <xf numFmtId="0" fontId="6" fillId="4" borderId="2" xfId="0" applyFont="1" applyFill="1" applyBorder="1" applyAlignment="1">
      <alignment horizontal="center" vertical="center"/>
    </xf>
    <xf numFmtId="164" fontId="7" fillId="5" borderId="1" xfId="0" applyNumberFormat="1" applyFont="1" applyFill="1" applyBorder="1" applyAlignment="1">
      <alignment horizontal="right" vertical="center"/>
    </xf>
    <xf numFmtId="0" fontId="7" fillId="5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right" vertical="center"/>
    </xf>
    <xf numFmtId="0" fontId="5" fillId="3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right" vertical="center"/>
    </xf>
    <xf numFmtId="0" fontId="6" fillId="4" borderId="2" xfId="0" applyFont="1" applyFill="1" applyBorder="1" applyAlignment="1">
      <alignment horizontal="right" vertical="center"/>
    </xf>
    <xf numFmtId="0" fontId="0" fillId="4" borderId="2" xfId="0" applyFill="1" applyBorder="1"/>
    <xf numFmtId="0" fontId="2" fillId="0" borderId="0" xfId="0" applyFont="1" applyAlignment="1">
      <alignment horizontal="center" vertical="center"/>
    </xf>
    <xf numFmtId="0" fontId="0" fillId="0" borderId="0" xfId="0"/>
    <xf numFmtId="0" fontId="1" fillId="0" borderId="0" xfId="0" applyFont="1" applyAlignment="1">
      <alignment horizontal="center" vertical="center"/>
    </xf>
    <xf numFmtId="0" fontId="7" fillId="5" borderId="1" xfId="0" applyFont="1" applyFill="1" applyBorder="1" applyAlignment="1">
      <alignment horizontal="right" vertical="center"/>
    </xf>
    <xf numFmtId="0" fontId="0" fillId="5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abSelected="1" topLeftCell="A13" workbookViewId="0">
      <selection sqref="A1:F1"/>
    </sheetView>
  </sheetViews>
  <sheetFormatPr baseColWidth="10" defaultColWidth="8.83203125" defaultRowHeight="15" x14ac:dyDescent="0.2"/>
  <cols>
    <col min="1" max="1" width="8" customWidth="1"/>
    <col min="2" max="2" width="38" customWidth="1"/>
    <col min="3" max="3" width="75" customWidth="1"/>
    <col min="4" max="5" width="22" customWidth="1"/>
    <col min="6" max="6" width="26" customWidth="1"/>
  </cols>
  <sheetData>
    <row r="1" spans="1:6" ht="35" customHeight="1" x14ac:dyDescent="0.2">
      <c r="A1" s="22" t="s">
        <v>0</v>
      </c>
      <c r="B1" s="21"/>
      <c r="C1" s="21"/>
      <c r="D1" s="21"/>
      <c r="E1" s="21"/>
      <c r="F1" s="21"/>
    </row>
    <row r="2" spans="1:6" ht="20" customHeight="1" x14ac:dyDescent="0.2">
      <c r="A2" s="20" t="s">
        <v>1</v>
      </c>
      <c r="B2" s="21"/>
      <c r="C2" s="21"/>
      <c r="D2" s="21"/>
      <c r="E2" s="21"/>
      <c r="F2" s="21"/>
    </row>
    <row r="4" spans="1:6" ht="28" customHeight="1" x14ac:dyDescent="0.2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 spans="1:6" ht="65" customHeight="1" x14ac:dyDescent="0.2">
      <c r="A5" s="2">
        <v>1</v>
      </c>
      <c r="B5" s="3" t="s">
        <v>8</v>
      </c>
      <c r="C5" s="4" t="s">
        <v>9</v>
      </c>
      <c r="D5" s="5">
        <v>50000000</v>
      </c>
      <c r="E5" s="5">
        <v>70000000</v>
      </c>
      <c r="F5" s="2" t="s">
        <v>10</v>
      </c>
    </row>
    <row r="6" spans="1:6" ht="65" customHeight="1" x14ac:dyDescent="0.2">
      <c r="A6" s="6">
        <v>2</v>
      </c>
      <c r="B6" s="7" t="s">
        <v>11</v>
      </c>
      <c r="C6" s="8" t="s">
        <v>12</v>
      </c>
      <c r="D6" s="9">
        <v>40000000</v>
      </c>
      <c r="E6" s="9">
        <v>55000000</v>
      </c>
      <c r="F6" s="6" t="s">
        <v>13</v>
      </c>
    </row>
    <row r="7" spans="1:6" ht="65" customHeight="1" x14ac:dyDescent="0.2">
      <c r="A7" s="2">
        <v>3</v>
      </c>
      <c r="B7" s="3" t="s">
        <v>14</v>
      </c>
      <c r="C7" s="4" t="s">
        <v>15</v>
      </c>
      <c r="D7" s="5">
        <v>35000000</v>
      </c>
      <c r="E7" s="5">
        <v>45000000</v>
      </c>
      <c r="F7" s="2" t="s">
        <v>16</v>
      </c>
    </row>
    <row r="8" spans="1:6" ht="65" customHeight="1" x14ac:dyDescent="0.2">
      <c r="A8" s="6">
        <v>4</v>
      </c>
      <c r="B8" s="7" t="s">
        <v>17</v>
      </c>
      <c r="C8" s="8" t="s">
        <v>18</v>
      </c>
      <c r="D8" s="9">
        <v>25000000</v>
      </c>
      <c r="E8" s="9">
        <v>35000000</v>
      </c>
      <c r="F8" s="6" t="s">
        <v>19</v>
      </c>
    </row>
    <row r="9" spans="1:6" ht="65" customHeight="1" x14ac:dyDescent="0.2">
      <c r="A9" s="2">
        <v>5</v>
      </c>
      <c r="B9" s="3" t="s">
        <v>20</v>
      </c>
      <c r="C9" s="4" t="s">
        <v>21</v>
      </c>
      <c r="D9" s="5">
        <v>25000000</v>
      </c>
      <c r="E9" s="5">
        <v>35000000</v>
      </c>
      <c r="F9" s="2" t="s">
        <v>22</v>
      </c>
    </row>
    <row r="10" spans="1:6" ht="65" customHeight="1" x14ac:dyDescent="0.2">
      <c r="A10" s="6">
        <v>6</v>
      </c>
      <c r="B10" s="7" t="s">
        <v>23</v>
      </c>
      <c r="C10" s="8" t="s">
        <v>24</v>
      </c>
      <c r="D10" s="9">
        <v>15000000</v>
      </c>
      <c r="E10" s="9">
        <v>25000000</v>
      </c>
      <c r="F10" s="6" t="s">
        <v>25</v>
      </c>
    </row>
    <row r="11" spans="1:6" ht="65" customHeight="1" x14ac:dyDescent="0.2">
      <c r="A11" s="2">
        <v>7</v>
      </c>
      <c r="B11" s="3" t="s">
        <v>26</v>
      </c>
      <c r="C11" s="4" t="s">
        <v>27</v>
      </c>
      <c r="D11" s="5">
        <v>20000000</v>
      </c>
      <c r="E11" s="5">
        <v>30000000</v>
      </c>
      <c r="F11" s="2" t="s">
        <v>28</v>
      </c>
    </row>
    <row r="12" spans="1:6" ht="65" customHeight="1" x14ac:dyDescent="0.2">
      <c r="A12" s="6">
        <v>8</v>
      </c>
      <c r="B12" s="7" t="s">
        <v>29</v>
      </c>
      <c r="C12" s="8" t="s">
        <v>30</v>
      </c>
      <c r="D12" s="9">
        <v>15000000</v>
      </c>
      <c r="E12" s="9">
        <v>25000000</v>
      </c>
      <c r="F12" s="6" t="s">
        <v>31</v>
      </c>
    </row>
    <row r="13" spans="1:6" ht="65" customHeight="1" x14ac:dyDescent="0.2">
      <c r="A13" s="2">
        <v>9</v>
      </c>
      <c r="B13" s="3" t="s">
        <v>32</v>
      </c>
      <c r="C13" s="4" t="s">
        <v>33</v>
      </c>
      <c r="D13" s="5">
        <v>20000000</v>
      </c>
      <c r="E13" s="5">
        <v>30000000</v>
      </c>
      <c r="F13" s="2" t="s">
        <v>34</v>
      </c>
    </row>
    <row r="14" spans="1:6" ht="65" customHeight="1" x14ac:dyDescent="0.2">
      <c r="A14" s="6">
        <v>10</v>
      </c>
      <c r="B14" s="7" t="s">
        <v>35</v>
      </c>
      <c r="C14" s="8" t="s">
        <v>36</v>
      </c>
      <c r="D14" s="9">
        <v>15000000</v>
      </c>
      <c r="E14" s="9">
        <v>25000000</v>
      </c>
      <c r="F14" s="6" t="s">
        <v>37</v>
      </c>
    </row>
    <row r="15" spans="1:6" ht="30" customHeight="1" x14ac:dyDescent="0.2">
      <c r="A15" s="18" t="s">
        <v>38</v>
      </c>
      <c r="B15" s="19"/>
      <c r="C15" s="19"/>
      <c r="D15" s="10">
        <f>SUM(D5:D14)</f>
        <v>260000000</v>
      </c>
      <c r="E15" s="10">
        <f>SUM(E5:E14)</f>
        <v>375000000</v>
      </c>
      <c r="F15" s="11" t="s">
        <v>39</v>
      </c>
    </row>
    <row r="16" spans="1:6" ht="32" customHeight="1" x14ac:dyDescent="0.2">
      <c r="A16" s="23" t="s">
        <v>40</v>
      </c>
      <c r="B16" s="24"/>
      <c r="C16" s="24"/>
      <c r="D16" s="12">
        <v>250000000</v>
      </c>
      <c r="E16" s="12">
        <v>320000000</v>
      </c>
      <c r="F16" s="13" t="s">
        <v>41</v>
      </c>
    </row>
  </sheetData>
  <mergeCells count="4">
    <mergeCell ref="A15:C15"/>
    <mergeCell ref="A2:F2"/>
    <mergeCell ref="A1:F1"/>
    <mergeCell ref="A16:C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"/>
  <sheetViews>
    <sheetView workbookViewId="0">
      <selection sqref="A1:E1"/>
    </sheetView>
  </sheetViews>
  <sheetFormatPr baseColWidth="10" defaultColWidth="8.83203125" defaultRowHeight="15" x14ac:dyDescent="0.2"/>
  <cols>
    <col min="1" max="1" width="8" customWidth="1"/>
    <col min="2" max="2" width="74.1640625" customWidth="1"/>
    <col min="3" max="3" width="71.5" customWidth="1"/>
    <col min="4" max="4" width="59.5" customWidth="1"/>
    <col min="5" max="5" width="55" customWidth="1"/>
  </cols>
  <sheetData>
    <row r="1" spans="1:5" ht="35" customHeight="1" x14ac:dyDescent="0.2">
      <c r="A1" s="22" t="s">
        <v>42</v>
      </c>
      <c r="B1" s="21"/>
      <c r="C1" s="21"/>
      <c r="D1" s="21"/>
      <c r="E1" s="21"/>
    </row>
    <row r="3" spans="1:5" ht="28" customHeight="1" x14ac:dyDescent="0.2">
      <c r="A3" s="1" t="s">
        <v>2</v>
      </c>
      <c r="B3" s="1" t="s">
        <v>43</v>
      </c>
      <c r="C3" s="1" t="s">
        <v>44</v>
      </c>
      <c r="D3" s="1" t="s">
        <v>45</v>
      </c>
      <c r="E3" s="1" t="s">
        <v>46</v>
      </c>
    </row>
    <row r="4" spans="1:5" ht="50" customHeight="1" x14ac:dyDescent="0.2">
      <c r="A4" s="2">
        <v>1</v>
      </c>
      <c r="B4" s="14" t="s">
        <v>47</v>
      </c>
      <c r="C4" s="4" t="s">
        <v>48</v>
      </c>
      <c r="D4" s="15" t="s">
        <v>49</v>
      </c>
      <c r="E4" s="4" t="s">
        <v>50</v>
      </c>
    </row>
    <row r="5" spans="1:5" ht="50" customHeight="1" x14ac:dyDescent="0.2">
      <c r="A5" s="6">
        <v>2</v>
      </c>
      <c r="B5" s="16" t="s">
        <v>51</v>
      </c>
      <c r="C5" s="8" t="s">
        <v>52</v>
      </c>
      <c r="D5" s="17" t="s">
        <v>53</v>
      </c>
      <c r="E5" s="8" t="s">
        <v>54</v>
      </c>
    </row>
    <row r="6" spans="1:5" ht="50" customHeight="1" x14ac:dyDescent="0.2">
      <c r="A6" s="2">
        <v>3</v>
      </c>
      <c r="B6" s="14" t="s">
        <v>55</v>
      </c>
      <c r="C6" s="4" t="s">
        <v>56</v>
      </c>
      <c r="D6" s="15" t="s">
        <v>57</v>
      </c>
      <c r="E6" s="4" t="s">
        <v>58</v>
      </c>
    </row>
    <row r="7" spans="1:5" ht="50" customHeight="1" x14ac:dyDescent="0.2">
      <c r="A7" s="6">
        <v>4</v>
      </c>
      <c r="B7" s="16" t="s">
        <v>59</v>
      </c>
      <c r="C7" s="8" t="s">
        <v>60</v>
      </c>
      <c r="D7" s="17" t="s">
        <v>61</v>
      </c>
      <c r="E7" s="8" t="s">
        <v>62</v>
      </c>
    </row>
    <row r="8" spans="1:5" ht="50" customHeight="1" x14ac:dyDescent="0.2">
      <c r="A8" s="2">
        <v>5</v>
      </c>
      <c r="B8" s="14" t="s">
        <v>63</v>
      </c>
      <c r="C8" s="4" t="s">
        <v>64</v>
      </c>
      <c r="D8" s="15" t="s">
        <v>65</v>
      </c>
      <c r="E8" s="4" t="s">
        <v>66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Báo Giá Chức Năng</vt:lpstr>
      <vt:lpstr>Gói Triển Khai B2B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2026-10-03T07:53:22Z</dcterms:created>
  <dcterms:modified xsi:type="dcterms:W3CDTF">2026-10-03T14:27:32Z</dcterms:modified>
</cp:coreProperties>
</file>